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quisitos funcionales" sheetId="2" state="visible" r:id="rId4"/>
    <sheet name="Requisitos no funcionales" sheetId="3" state="visible" r:id="rId5"/>
    <sheet name="Historias de usuario" sheetId="4" state="visible" r:id="rId6"/>
    <sheet name="Casos de prueba" sheetId="5" state="visible" r:id="rId7"/>
  </sheets>
  <definedNames>
    <definedName function="false" hidden="true" localSheetId="4" name="_xlnm._FilterDatabase" vbProcedure="false">'Casos de prueba'!$A$1:$F$26</definedName>
    <definedName function="false" hidden="true" localSheetId="3" name="_xlnm._FilterDatabase" vbProcedure="false">'Historias de usuario'!$A$1:$F$10</definedName>
    <definedName function="false" hidden="true" localSheetId="1" name="_xlnm._FilterDatabase" vbProcedure="false">'Requisitos funcionales'!$A$1:$D$19</definedName>
    <definedName function="false" hidden="true" localSheetId="2" name="_xlnm._FilterDatabase" vbProcedure="false">'Requisitos no funcionales'!$A$1:$D$13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<sst xmlns="http://schemas.openxmlformats.org/spreadsheetml/2006/main" count="366" uniqueCount="281">
  <si>
    <t xml:space="preserve">Sistema de Monitoreo de Lluvia · CVC</t>
  </si>
  <si>
    <t xml:space="preserve">Requisitos, historias de usuario y plan de pruebas · 29 de octubre de 2026</t>
  </si>
  <si>
    <t xml:space="preserve">Propósito y alcance</t>
  </si>
  <si>
    <t xml:space="preserve">Aplicación web de una sola página para que personal autorizado registre la lluvia por zona, la compare con el estándar de Cali (14 mm) y grafique los registros. Incluye inicio de sesión, captura de datos, cálculo con efecto reloj, ajuste horario, clave de seguridad para registro continuo, gráfica de barras y foto de la zona. Se construye con HTML, CSS y JavaScript, sin servidor ni base de datos.</t>
  </si>
  <si>
    <t xml:space="preserve">Parámetros del cálculo</t>
  </si>
  <si>
    <t xml:space="preserve">Estándar de Cali (mm)</t>
  </si>
  <si>
    <t xml:space="preserve">Dato del caso de estudio</t>
  </si>
  <si>
    <t xml:space="preserve">Factor de ajuste horario</t>
  </si>
  <si>
    <t xml:space="preserve">+5,3 % del caso de estudio</t>
  </si>
  <si>
    <t xml:space="preserve">Inicio del rango de ajuste (h)</t>
  </si>
  <si>
    <t xml:space="preserve">3:00 p. m., dato del caso de estudio</t>
  </si>
  <si>
    <t xml:space="preserve">Fin del rango de ajuste (h)</t>
  </si>
  <si>
    <t xml:space="preserve">6:00 p. m., dato del caso de estudio</t>
  </si>
  <si>
    <t xml:space="preserve">Calculadora de ejemplo</t>
  </si>
  <si>
    <t xml:space="preserve">Cambia las celdas azules para probar la fórmula del sistema.</t>
  </si>
  <si>
    <t xml:space="preserve">Precipitación (mm)</t>
  </si>
  <si>
    <t xml:space="preserve">Hora de inicio (h, 0–24)</t>
  </si>
  <si>
    <t xml:space="preserve">15:20 = 15,33</t>
  </si>
  <si>
    <t xml:space="preserve">Hora de fin (h, 0–24)</t>
  </si>
  <si>
    <t xml:space="preserve">17:05 = 17,08</t>
  </si>
  <si>
    <t xml:space="preserve">Tiempo total (h)</t>
  </si>
  <si>
    <t xml:space="preserve">Fin menos inicio</t>
  </si>
  <si>
    <t xml:space="preserve">Subtotal</t>
  </si>
  <si>
    <t xml:space="preserve">Precipitación × estándar × tiempo</t>
  </si>
  <si>
    <t xml:space="preserve">Ajuste horario</t>
  </si>
  <si>
    <t xml:space="preserve">Solo si el inicio está en el rango</t>
  </si>
  <si>
    <t xml:space="preserve">Total calculado</t>
  </si>
  <si>
    <t xml:space="preserve">Subtotal + ajuste</t>
  </si>
  <si>
    <t xml:space="preserve">Porcentaje del estándar</t>
  </si>
  <si>
    <t xml:space="preserve">Precipitación ÷ estándar</t>
  </si>
  <si>
    <t xml:space="preserve">Diferencia con el estándar (mm)</t>
  </si>
  <si>
    <t xml:space="preserve">Positivo = sobre el estándar</t>
  </si>
  <si>
    <t xml:space="preserve">Indicadores del documento</t>
  </si>
  <si>
    <t xml:space="preserve">Requisitos funcionales</t>
  </si>
  <si>
    <t xml:space="preserve">Requisitos no funcionales</t>
  </si>
  <si>
    <t xml:space="preserve">Historias de usuario</t>
  </si>
  <si>
    <t xml:space="preserve">Casos de prueba</t>
  </si>
  <si>
    <t xml:space="preserve">   Pasaron</t>
  </si>
  <si>
    <t xml:space="preserve">   Fallaron</t>
  </si>
  <si>
    <t xml:space="preserve">   Pendientes</t>
  </si>
  <si>
    <t xml:space="preserve">Avance de pruebas</t>
  </si>
  <si>
    <t xml:space="preserve">Supuestos</t>
  </si>
  <si>
    <t xml:space="preserve">• El tiempo total se mide en horas, como la diferencia entre hora de fin y hora de inicio (15:20 a 17:05 = 1,75 h).</t>
  </si>
  <si>
    <t xml:space="preserve">• Resultado = precipitación × 14 × tiempo total. Si la lluvia inicia entre 15:00 y 18:00, se multiplica por 1,053.</t>
  </si>
  <si>
    <t xml:space="preserve">• Los registros viven en un arreglo en memoria; se pierden al recargar la página.</t>
  </si>
  <si>
    <t xml:space="preserve">• Cancelar el diálogo de la clave se trata como clave incorrecta (el caso de estudio no lo define; por confirmar).</t>
  </si>
  <si>
    <t xml:space="preserve">• Validar usuario y contraseña en JavaScript deja las credenciales visibles en el código; aceptable solo en este caso de estudio.</t>
  </si>
  <si>
    <t xml:space="preserve">ID</t>
  </si>
  <si>
    <t xml:space="preserve">Módulo</t>
  </si>
  <si>
    <t xml:space="preserve">Requisito</t>
  </si>
  <si>
    <t xml:space="preserve">Prioridad</t>
  </si>
  <si>
    <t xml:space="preserve">RF-01</t>
  </si>
  <si>
    <t xml:space="preserve">Login</t>
  </si>
  <si>
    <t xml:space="preserve">Al abrir la aplicación se muestra solo la pantalla de acceso, con campos de usuario y contraseña.</t>
  </si>
  <si>
    <t xml:space="preserve">Alta</t>
  </si>
  <si>
    <t xml:space="preserve">RF-02</t>
  </si>
  <si>
    <t xml:space="preserve">Solo es válida la combinación usuario CVC y contraseña Lluvias, respetando mayúsculas y minúsculas.</t>
  </si>
  <si>
    <t xml:space="preserve">RF-03</t>
  </si>
  <si>
    <t xml:space="preserve">Si las credenciales son incorrectas, se muestra una alerta y el usuario permanece en el login.</t>
  </si>
  <si>
    <t xml:space="preserve">RF-04</t>
  </si>
  <si>
    <t xml:space="preserve">Si las credenciales son correctas, se oculta el login (clase CSS oculto) y se muestra el panel principal.</t>
  </si>
  <si>
    <t xml:space="preserve">RF-05</t>
  </si>
  <si>
    <t xml:space="preserve">Registro</t>
  </si>
  <si>
    <t xml:space="preserve">El panel solicita: dirección de la zona, hora de inicio, hora de fin, precipitación en mm y usuario que registra.</t>
  </si>
  <si>
    <t xml:space="preserve">RF-06</t>
  </si>
  <si>
    <t xml:space="preserve">Todos los campos son obligatorios; la precipitación debe ser un número mayor que 0 y la hora de fin posterior a la de inicio. Si algo falla, se muestra un mensaje y no se calcula.</t>
  </si>
  <si>
    <t xml:space="preserve">RF-07</t>
  </si>
  <si>
    <t xml:space="preserve">Cálculo</t>
  </si>
  <si>
    <t xml:space="preserve">El sistema calcula el tiempo total en horas como hora de fin menos hora de inicio.</t>
  </si>
  <si>
    <t xml:space="preserve">RF-08</t>
  </si>
  <si>
    <t xml:space="preserve">Resultado = precipitación (mm) × 14 × tiempo total (h).</t>
  </si>
  <si>
    <t xml:space="preserve">RF-09</t>
  </si>
  <si>
    <t xml:space="preserve">Si la hora de inicio está entre 15:00 y 18:00, el resultado se multiplica por 1,053 (+5,3 %) y el ajuste se muestra por separado.</t>
  </si>
  <si>
    <t xml:space="preserve">RF-10</t>
  </si>
  <si>
    <t xml:space="preserve">Se compara la precipitación con el estándar de Cali (14 mm) y se muestra la diferencia en mm, el porcentaje del estándar y si está sobre, en o bajo el estándar.</t>
  </si>
  <si>
    <t xml:space="preserve">RF-11</t>
  </si>
  <si>
    <t xml:space="preserve">Antes de mostrar el resultado se ejecuta un efecto tipo reloj de unos 3 segundos.</t>
  </si>
  <si>
    <t xml:space="preserve">Media</t>
  </si>
  <si>
    <t xml:space="preserve">RF-12</t>
  </si>
  <si>
    <t xml:space="preserve">Datos</t>
  </si>
  <si>
    <t xml:space="preserve">Cada registro se guarda en un arreglo con dirección, horas, mm, usuario, tiempo total, ajuste, resultado y foto (si existe).</t>
  </si>
  <si>
    <t xml:space="preserve">RF-13</t>
  </si>
  <si>
    <t xml:space="preserve">Clave</t>
  </si>
  <si>
    <t xml:space="preserve">Al terminar el registro, una ventana de diálogo solicita la palabra clave.</t>
  </si>
  <si>
    <t xml:space="preserve">RF-14</t>
  </si>
  <si>
    <t xml:space="preserve">Si la palabra es exactamente CLIMA, se limpian todos los campos para registrar otra zona.</t>
  </si>
  <si>
    <t xml:space="preserve">RF-15</t>
  </si>
  <si>
    <t xml:space="preserve">Si la palabra es distinta (o se cancela el diálogo), se emite una alerta y se vuelve al login. Los registros ya guardados se conservan mientras la página siga abierta.</t>
  </si>
  <si>
    <t xml:space="preserve">RF-16</t>
  </si>
  <si>
    <t xml:space="preserve">Gráfica</t>
  </si>
  <si>
    <t xml:space="preserve">Cada registro se dibuja en una gráfica de barras que se actualiza al guardar, con una línea de referencia en 14 mm.</t>
  </si>
  <si>
    <t xml:space="preserve">RF-17</t>
  </si>
  <si>
    <t xml:space="preserve">Foto</t>
  </si>
  <si>
    <t xml:space="preserve">Un botón permite capturar una foto de la zona afectada, mostrar su vista previa y asociarla al registro.</t>
  </si>
  <si>
    <t xml:space="preserve">RF-18</t>
  </si>
  <si>
    <t xml:space="preserve">Sesión</t>
  </si>
  <si>
    <t xml:space="preserve">Un botón «Cerrar sesión» vuelve al login (requisito propuesto en el boceto; no está en el caso original).</t>
  </si>
  <si>
    <t xml:space="preserve">Baja</t>
  </si>
  <si>
    <t xml:space="preserve">Categoría</t>
  </si>
  <si>
    <t xml:space="preserve">Verificación</t>
  </si>
  <si>
    <t xml:space="preserve">RNF-01</t>
  </si>
  <si>
    <t xml:space="preserve">Usabilidad</t>
  </si>
  <si>
    <t xml:space="preserve">Un usuario nuevo registra una zona completa en menos de 2 minutos, sin instrucciones.</t>
  </si>
  <si>
    <t xml:space="preserve">Prueba con 3 personas, cronómetro</t>
  </si>
  <si>
    <t xml:space="preserve">RNF-02</t>
  </si>
  <si>
    <t xml:space="preserve">Rendimiento</t>
  </si>
  <si>
    <t xml:space="preserve">La carga inicial tarda menos de 2 s y el cálculo (sin contar el efecto reloj) menos de 200 ms.</t>
  </si>
  <si>
    <t xml:space="preserve">Herramientas del navegador</t>
  </si>
  <si>
    <t xml:space="preserve">RNF-03</t>
  </si>
  <si>
    <t xml:space="preserve">La gráfica se redibuja en menos de 500 ms con 100 registros.</t>
  </si>
  <si>
    <t xml:space="preserve">Prueba con datos generados</t>
  </si>
  <si>
    <t xml:space="preserve">RNF-04</t>
  </si>
  <si>
    <t xml:space="preserve">Compatibilidad</t>
  </si>
  <si>
    <t xml:space="preserve">Funciona en las dos últimas versiones de Chrome, Edge, Firefox y Safari.</t>
  </si>
  <si>
    <t xml:space="preserve">Prueba manual por navegador</t>
  </si>
  <si>
    <t xml:space="preserve">RNF-05</t>
  </si>
  <si>
    <t xml:space="preserve">Adaptabilidad</t>
  </si>
  <si>
    <t xml:space="preserve">La interfaz se usa sin desplazamiento horizontal desde 360 px de ancho.</t>
  </si>
  <si>
    <t xml:space="preserve">Modo móvil del navegador</t>
  </si>
  <si>
    <t xml:space="preserve">RNF-06</t>
  </si>
  <si>
    <t xml:space="preserve">Accesibilidad</t>
  </si>
  <si>
    <t xml:space="preserve">Campos con etiqueta, contraste de texto de al menos 4,5:1, uso completo con teclado y botones de al menos 44 px.</t>
  </si>
  <si>
    <t xml:space="preserve">Revisión con lista de verificación</t>
  </si>
  <si>
    <t xml:space="preserve">RNF-07</t>
  </si>
  <si>
    <t xml:space="preserve">Seguridad</t>
  </si>
  <si>
    <t xml:space="preserve">La contraseña se escribe en un campo oculto y nunca se muestra en pantalla ni en alertas.</t>
  </si>
  <si>
    <t xml:space="preserve">Prueba manual</t>
  </si>
  <si>
    <t xml:space="preserve">RNF-08</t>
  </si>
  <si>
    <t xml:space="preserve">Los textos escritos por el usuario se muestran como texto, no como HTML, para evitar inyección de código.</t>
  </si>
  <si>
    <t xml:space="preserve">Prueba con etiquetas HTML en la dirección</t>
  </si>
  <si>
    <t xml:space="preserve">RNF-09</t>
  </si>
  <si>
    <t xml:space="preserve">Privacidad</t>
  </si>
  <si>
    <t xml:space="preserve">La foto queda solo en el navegador; la cámara se activa solo si el usuario da permiso.</t>
  </si>
  <si>
    <t xml:space="preserve">Revisión de tráfico de red y permisos</t>
  </si>
  <si>
    <t xml:space="preserve">RNF-10</t>
  </si>
  <si>
    <t xml:space="preserve">Mantenibilidad</t>
  </si>
  <si>
    <t xml:space="preserve">HTML, CSS y JavaScript en archivos separados, con constantes con nombre (estándar 14, ajuste 1,053, rango 15:00–18:00).</t>
  </si>
  <si>
    <t xml:space="preserve">Revisión de código</t>
  </si>
  <si>
    <t xml:space="preserve">RNF-11</t>
  </si>
  <si>
    <t xml:space="preserve">Fiabilidad</t>
  </si>
  <si>
    <t xml:space="preserve">Un dato inválido nunca produce errores sin controlar en la consola.</t>
  </si>
  <si>
    <t xml:space="preserve">Pruebas de valores límite</t>
  </si>
  <si>
    <t xml:space="preserve">RNF-12</t>
  </si>
  <si>
    <t xml:space="preserve">Disponibilidad</t>
  </si>
  <si>
    <t xml:space="preserve">Una vez cargada, la aplicación funciona sin conexión y sin librerías externas.</t>
  </si>
  <si>
    <t xml:space="preserve">Prueba sin red</t>
  </si>
  <si>
    <t xml:space="preserve">Rol</t>
  </si>
  <si>
    <t xml:space="preserve">Título</t>
  </si>
  <si>
    <t xml:space="preserve">Historia</t>
  </si>
  <si>
    <t xml:space="preserve">Criterios de aceptación</t>
  </si>
  <si>
    <t xml:space="preserve">Requisitos que cubre</t>
  </si>
  <si>
    <t xml:space="preserve">HU-01</t>
  </si>
  <si>
    <t xml:space="preserve">Operador</t>
  </si>
  <si>
    <t xml:space="preserve">Acceder al sistema</t>
  </si>
  <si>
    <t xml:space="preserve">Como operador, quiero iniciar sesión con mi usuario y contraseña para entrar al panel de registro.</t>
  </si>
  <si>
    <t xml:space="preserve">• Dado que abro la aplicación, cuando aún no he ingresado, entonces solo veo el login.
• Dado que escribo CVC y Lluvias, cuando pulso Ingresar, entonces veo el panel y el login desaparece.
• Dado que escribo otra combinación, cuando pulso Ingresar, entonces recibo una alerta y sigo en el login.</t>
  </si>
  <si>
    <t xml:space="preserve">RF-01 a RF-04</t>
  </si>
  <si>
    <t xml:space="preserve">HU-02</t>
  </si>
  <si>
    <t xml:space="preserve">Registrar la lluvia de una zona</t>
  </si>
  <si>
    <t xml:space="preserve">Como operador, quiero ingresar dirección, horas, milímetros y mi nombre para dejar constancia de la lluvia en esa zona.</t>
  </si>
  <si>
    <t xml:space="preserve">• Dado que dejo un campo vacío, cuando pulso Calcular y registrar, entonces veo un mensaje que indica cuál falta y no se calcula nada.
• Dado que la hora de fin es anterior a la de inicio, cuando calculo, entonces veo un mensaje de error.
• Dado que escribo 0 o un valor negativo en mm, cuando calculo, entonces veo un mensaje de error.</t>
  </si>
  <si>
    <t xml:space="preserve">RF-05, RF-06</t>
  </si>
  <si>
    <t xml:space="preserve">HU-03</t>
  </si>
  <si>
    <t xml:space="preserve">Ver el resultado frente al estándar</t>
  </si>
  <si>
    <t xml:space="preserve">Como operador, quiero ver cuánto llovió frente al estándar de Cali para saber si la zona supera lo normal.</t>
  </si>
  <si>
    <t xml:space="preserve">• Dado 22 mm de 10:00 a 11:00, cuando calculo, entonces tras el efecto reloj veo 308,00 (22 × 14 × 1 h).
• Dado 22 mm, entonces veo que está 8 mm por encima del estándar (157 %).
• Dado 14 mm, entonces veo que está en el estándar (100 %).</t>
  </si>
  <si>
    <t xml:space="preserve">RF-07, RF-08, RF-10, RF-11</t>
  </si>
  <si>
    <t xml:space="preserve">HU-04</t>
  </si>
  <si>
    <t xml:space="preserve">Analista</t>
  </si>
  <si>
    <t xml:space="preserve">Aplicar el ajuste por horario</t>
  </si>
  <si>
    <t xml:space="preserve">Como analista, quiero que las lluvias que inician en la tarde lleven un ajuste de 5,3 % para reflejar la alta nubosidad.</t>
  </si>
  <si>
    <t xml:space="preserve">• Dado 22 mm de 15:20 a 17:05, cuando calculo, entonces el subtotal es 539,00, el ajuste +28,57 y el total 567,57.
• Dado que la lluvia inicia a las 14:59 o a las 18:01, entonces no se aplica ajuste.
• Dado que inicia a las 15:00 o a las 18:00 exactas, entonces sí se aplica (los extremos están incluidos).</t>
  </si>
  <si>
    <t xml:space="preserve">HU-05</t>
  </si>
  <si>
    <t xml:space="preserve">Registrar otra zona con la clave</t>
  </si>
  <si>
    <t xml:space="preserve">Como operador, quiero que al terminar el sistema me pida la clave para poder registrar otra zona de forma continua.</t>
  </si>
  <si>
    <t xml:space="preserve">• Dado que terminé un registro, entonces aparece una ventana que pide la palabra clave.
• Dado que escribo exactamente CLIMA, entonces los campos quedan vacíos y puedo registrar otra zona.</t>
  </si>
  <si>
    <t xml:space="preserve">RF-13, RF-14</t>
  </si>
  <si>
    <t xml:space="preserve">HU-06</t>
  </si>
  <si>
    <t xml:space="preserve">Bloquear el uso con clave incorrecta</t>
  </si>
  <si>
    <t xml:space="preserve">Como analista, quiero que una clave errónea saque al usuario del panel para evitar registros no autorizados.</t>
  </si>
  <si>
    <t xml:space="preserve">• Dado que escribo clima, Clima o cualquier otra palabra, entonces veo una alerta y regreso al login.
• Dado que regreso al login, entonces el panel no es visible y debo ingresar de nuevo.</t>
  </si>
  <si>
    <t xml:space="preserve">HU-07</t>
  </si>
  <si>
    <t xml:space="preserve">Ver la gráfica de registros</t>
  </si>
  <si>
    <t xml:space="preserve">Como analista, quiero ver una gráfica de barras de todos los registros para comparar las zonas con el estándar.</t>
  </si>
  <si>
    <t xml:space="preserve">• Dado que guardo un registro, entonces aparece una barra nueva sin recargar la página.
• Dado que hay 5 registros, entonces veo 5 barras y una línea en 14 mm.</t>
  </si>
  <si>
    <t xml:space="preserve">RF-12, RF-16</t>
  </si>
  <si>
    <t xml:space="preserve">HU-08</t>
  </si>
  <si>
    <t xml:space="preserve">Adjuntar la foto de la zona</t>
  </si>
  <si>
    <t xml:space="preserve">Como operador, quiero tomar una foto de la zona afectada para incluirla en el reporte.</t>
  </si>
  <si>
    <t xml:space="preserve">• Dado que pulso Capturar foto y acepto el permiso, entonces veo la vista previa de la imagen.
• Dado que niego el permiso de la cámara, entonces veo un aviso y puedo registrar sin foto.</t>
  </si>
  <si>
    <t xml:space="preserve">HU-09</t>
  </si>
  <si>
    <t xml:space="preserve">Cerrar sesión</t>
  </si>
  <si>
    <t xml:space="preserve">Como operador, quiero cerrar la sesión para que nadie use el panel con mi acceso.</t>
  </si>
  <si>
    <t xml:space="preserve">• Dado que estoy en el panel, cuando pulso Cerrar sesión, entonces vuelvo al login.</t>
  </si>
  <si>
    <t xml:space="preserve">Caso y datos de entrada</t>
  </si>
  <si>
    <t xml:space="preserve">Resultado esperado</t>
  </si>
  <si>
    <t xml:space="preserve">Cubre</t>
  </si>
  <si>
    <t xml:space="preserve">Estado</t>
  </si>
  <si>
    <t xml:space="preserve">Observaciones</t>
  </si>
  <si>
    <t xml:space="preserve">CP-01</t>
  </si>
  <si>
    <t xml:space="preserve">Login con CVC / Lluvias</t>
  </si>
  <si>
    <t xml:space="preserve">Se oculta el login y se ve el panel</t>
  </si>
  <si>
    <t xml:space="preserve">RF-01, RF-02, RF-04</t>
  </si>
  <si>
    <t xml:space="preserve">Pendiente</t>
  </si>
  <si>
    <t xml:space="preserve">CP-02</t>
  </si>
  <si>
    <t xml:space="preserve">Login con cvc / Lluvias y con CVC / lluvias</t>
  </si>
  <si>
    <t xml:space="preserve">Alerta en ambos casos; sigue el login</t>
  </si>
  <si>
    <t xml:space="preserve">RF-02, RF-03</t>
  </si>
  <si>
    <t xml:space="preserve">CP-03</t>
  </si>
  <si>
    <t xml:space="preserve">Login con ambos campos vacíos</t>
  </si>
  <si>
    <t xml:space="preserve">Alerta; sigue el login</t>
  </si>
  <si>
    <t xml:space="preserve">CP-04</t>
  </si>
  <si>
    <t xml:space="preserve">Escribir en el campo de contraseña</t>
  </si>
  <si>
    <t xml:space="preserve">Los caracteres no se ven</t>
  </si>
  <si>
    <t xml:space="preserve">CP-05</t>
  </si>
  <si>
    <t xml:space="preserve">Dejar la dirección vacía y pulsar Calcular y registrar</t>
  </si>
  <si>
    <t xml:space="preserve">Mensaje que indica el campo faltante; no hay cálculo ni registro</t>
  </si>
  <si>
    <t xml:space="preserve">CP-06</t>
  </si>
  <si>
    <t xml:space="preserve">Precipitación 0 y luego −5</t>
  </si>
  <si>
    <t xml:space="preserve">Mensaje de error en ambos casos</t>
  </si>
  <si>
    <t xml:space="preserve">CP-07</t>
  </si>
  <si>
    <t xml:space="preserve">Inicio 17:00 y fin 16:00; luego inicio 17:00 y fin 17:00</t>
  </si>
  <si>
    <t xml:space="preserve">RF-06, RF-07</t>
  </si>
  <si>
    <t xml:space="preserve">CP-08</t>
  </si>
  <si>
    <t xml:space="preserve">22 mm, 10:00 a 11:00</t>
  </si>
  <si>
    <t xml:space="preserve">Total 308,00; sin ajuste; 8 mm sobre el estándar (157 %)</t>
  </si>
  <si>
    <t xml:space="preserve">RF-07, RF-08, RF-10</t>
  </si>
  <si>
    <t xml:space="preserve">CP-09</t>
  </si>
  <si>
    <t xml:space="preserve">22 mm, 15:20 a 17:05</t>
  </si>
  <si>
    <t xml:space="preserve">Subtotal 539,00; ajuste +28,57; total 567,57</t>
  </si>
  <si>
    <t xml:space="preserve">RF-08, RF-09</t>
  </si>
  <si>
    <t xml:space="preserve">CP-10</t>
  </si>
  <si>
    <t xml:space="preserve">10 mm, 15:00 a 16:00; y 10 mm, 18:00 a 19:00</t>
  </si>
  <si>
    <t xml:space="preserve">Total 147,42 en ambos (ajuste aplicado en los extremos)</t>
  </si>
  <si>
    <t xml:space="preserve">CP-11</t>
  </si>
  <si>
    <t xml:space="preserve">10 mm, 14:59 a 15:59; y 10 mm, 18:01 a 19:01</t>
  </si>
  <si>
    <t xml:space="preserve">Total 140,00 en ambos (sin ajuste)</t>
  </si>
  <si>
    <t xml:space="preserve">CP-12</t>
  </si>
  <si>
    <t xml:space="preserve">14 mm, 08:00 a 09:00</t>
  </si>
  <si>
    <t xml:space="preserve">Total 196,00; indica «en el estándar» (100 %)</t>
  </si>
  <si>
    <t xml:space="preserve">CP-13</t>
  </si>
  <si>
    <t xml:space="preserve">Pulsar Calcular y registrar con datos válidos</t>
  </si>
  <si>
    <t xml:space="preserve">Aparece el reloj unos 3 s y el resultado solo se muestra al terminar</t>
  </si>
  <si>
    <t xml:space="preserve">CP-14</t>
  </si>
  <si>
    <t xml:space="preserve">Registrar una zona con datos válidos</t>
  </si>
  <si>
    <t xml:space="preserve">El arreglo de registros tiene un elemento más, con todos los campos</t>
  </si>
  <si>
    <t xml:space="preserve">CP-15</t>
  </si>
  <si>
    <t xml:space="preserve">Escribir CLIMA en el diálogo de clave</t>
  </si>
  <si>
    <t xml:space="preserve">Todos los campos quedan vacíos y el panel sigue visible</t>
  </si>
  <si>
    <t xml:space="preserve">CP-16</t>
  </si>
  <si>
    <t xml:space="preserve">Escribir clima, Clima y ABC en el diálogo</t>
  </si>
  <si>
    <t xml:space="preserve">Alerta y regreso al login en cada caso</t>
  </si>
  <si>
    <t xml:space="preserve">CP-17</t>
  </si>
  <si>
    <t xml:space="preserve">Dejar la clave vacía o cancelar el diálogo</t>
  </si>
  <si>
    <t xml:space="preserve">Alerta y regreso al login</t>
  </si>
  <si>
    <t xml:space="preserve">CP-18</t>
  </si>
  <si>
    <t xml:space="preserve">Tras volver al login por clave errónea, ingresar con CVC / Lluvias</t>
  </si>
  <si>
    <t xml:space="preserve">Los registros anteriores siguen en la gráfica</t>
  </si>
  <si>
    <t xml:space="preserve">RF-12, RF-15</t>
  </si>
  <si>
    <t xml:space="preserve">CP-19</t>
  </si>
  <si>
    <t xml:space="preserve">Registrar 3 zonas con 9, 14 y 31 mm</t>
  </si>
  <si>
    <t xml:space="preserve">3 barras proporcionales y línea de referencia en 14 mm, sin recargar</t>
  </si>
  <si>
    <t xml:space="preserve">CP-20</t>
  </si>
  <si>
    <t xml:space="preserve">Capturar foto; y repetir negando el permiso</t>
  </si>
  <si>
    <t xml:space="preserve">Con permiso: vista previa. Sin permiso: aviso y registro posible sin foto</t>
  </si>
  <si>
    <t xml:space="preserve">CP-21</t>
  </si>
  <si>
    <t xml:space="preserve">Escribir &lt;b&gt;x&lt;/b&gt; en la dirección y registrar</t>
  </si>
  <si>
    <t xml:space="preserve">Se muestra el texto literal, sin negrita</t>
  </si>
  <si>
    <t xml:space="preserve">CP-22</t>
  </si>
  <si>
    <t xml:space="preserve">Abrir con 360 px de ancho</t>
  </si>
  <si>
    <t xml:space="preserve">No hay desplazamiento horizontal y los botones miden al menos 44 px</t>
  </si>
  <si>
    <t xml:space="preserve">RNF-05, RNF-06</t>
  </si>
  <si>
    <t xml:space="preserve">CP-23</t>
  </si>
  <si>
    <t xml:space="preserve">Repetir CP-01, CP-09 y CP-15 en los 4 navegadores</t>
  </si>
  <si>
    <t xml:space="preserve">Mismo resultado en todos</t>
  </si>
  <si>
    <t xml:space="preserve">CP-24</t>
  </si>
  <si>
    <t xml:space="preserve">Cargar la página y desconectar la red</t>
  </si>
  <si>
    <t xml:space="preserve">Todo el flujo sigue funcionando</t>
  </si>
  <si>
    <t xml:space="preserve">CP-25</t>
  </si>
  <si>
    <t xml:space="preserve">Cargar 100 registros de prueba</t>
  </si>
  <si>
    <t xml:space="preserve">La gráfica se dibuja en menos de 500 ms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</si>
</sst>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"/>
    <numFmt numFmtId="167" formatCode="#,##0.00"/>
    <numFmt numFmtId="168" formatCode="0%"/>
    <numFmt numFmtId="169" formatCode="\+0.0;\-0.0;0.0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B47"/>
      <name val="Arial"/>
      <family val="0"/>
      <charset val="1"/>
    </font>
    <font>
      <sz val="10"/>
      <color rgb="FF4A6572"/>
      <name val="Arial"/>
      <family val="0"/>
      <charset val="1"/>
    </font>
    <font>
      <b val="true"/>
      <sz val="11"/>
      <color rgb="FF0B3B47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6E8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FE3"/>
      </left>
      <right style="thin">
        <color rgb="FFD5DFE3"/>
      </right>
      <top style="thin">
        <color rgb="FFD5DFE3"/>
      </top>
      <bottom style="thin">
        <color rgb="FFD5DF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6E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1E5B2B"/>
      </font>
      <fill>
        <patternFill>
          <bgColor rgb="FFCDEBD3"/>
        </patternFill>
      </fill>
    </dxf>
    <dxf>
      <font>
        <name val="Arial"/>
        <charset val="1"/>
        <family val="0"/>
        <b val="1"/>
        <color rgb="FF7A1F14"/>
      </font>
      <fill>
        <patternFill>
          <bgColor rgb="FFFFD9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8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F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FD9D4"/>
      <rgbColor rgb="FF3366FF"/>
      <rgbColor rgb="FF33CCCC"/>
      <rgbColor rgb="FF99CC00"/>
      <rgbColor rgb="FFFFCC00"/>
      <rgbColor rgb="FFFF9900"/>
      <rgbColor rgb="FFFF6600"/>
      <rgbColor rgb="FF4A6572"/>
      <rgbColor rgb="FF969696"/>
      <rgbColor rgb="FF0B3B47"/>
      <rgbColor rgb="FF339966"/>
      <rgbColor rgb="FF003300"/>
      <rgbColor rgb="FF333300"/>
      <rgbColor rgb="FF7A1F14"/>
      <rgbColor rgb="FF993366"/>
      <rgbColor rgb="FF333399"/>
      <rgbColor rgb="FF1E5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1.5" hidden="false" customHeight="true" outlineLevel="0" collapsed="false">
      <c r="A5" s="4" t="s">
        <v>3</v>
      </c>
      <c r="B5" s="4"/>
      <c r="C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6" t="n">
        <v>14</v>
      </c>
      <c r="C8" s="7" t="s">
        <v>6</v>
      </c>
    </row>
    <row r="9" customFormat="false" ht="15" hidden="false" customHeight="false" outlineLevel="0" collapsed="false">
      <c r="A9" s="5" t="s">
        <v>7</v>
      </c>
      <c r="B9" s="8" t="n">
        <v>1.053</v>
      </c>
      <c r="C9" s="7" t="s">
        <v>8</v>
      </c>
    </row>
    <row r="10" customFormat="false" ht="15" hidden="false" customHeight="false" outlineLevel="0" collapsed="false">
      <c r="A10" s="5" t="s">
        <v>9</v>
      </c>
      <c r="B10" s="6" t="n">
        <v>15</v>
      </c>
      <c r="C10" s="7" t="s">
        <v>10</v>
      </c>
    </row>
    <row r="11" customFormat="false" ht="15" hidden="false" customHeight="false" outlineLevel="0" collapsed="false">
      <c r="A11" s="5" t="s">
        <v>11</v>
      </c>
      <c r="B11" s="6" t="n">
        <v>18</v>
      </c>
      <c r="C11" s="7" t="s">
        <v>12</v>
      </c>
    </row>
    <row r="13" customFormat="false" ht="15" hidden="false" customHeight="false" outlineLevel="0" collapsed="false">
      <c r="A13" s="3" t="s">
        <v>13</v>
      </c>
      <c r="C13" s="2" t="s">
        <v>14</v>
      </c>
    </row>
    <row r="14" customFormat="false" ht="15" hidden="false" customHeight="false" outlineLevel="0" collapsed="false">
      <c r="A14" s="5" t="s">
        <v>15</v>
      </c>
      <c r="B14" s="6" t="n">
        <v>22</v>
      </c>
    </row>
    <row r="15" customFormat="false" ht="15" hidden="false" customHeight="false" outlineLevel="0" collapsed="false">
      <c r="A15" s="5" t="s">
        <v>16</v>
      </c>
      <c r="B15" s="9" t="n">
        <v>15.3333333333333</v>
      </c>
      <c r="C15" s="2" t="s">
        <v>17</v>
      </c>
    </row>
    <row r="16" customFormat="false" ht="15" hidden="false" customHeight="false" outlineLevel="0" collapsed="false">
      <c r="A16" s="5" t="s">
        <v>18</v>
      </c>
      <c r="B16" s="9" t="n">
        <v>17.0833333333333</v>
      </c>
      <c r="C16" s="2" t="s">
        <v>19</v>
      </c>
    </row>
    <row r="17" customFormat="false" ht="15" hidden="false" customHeight="false" outlineLevel="0" collapsed="false">
      <c r="A17" s="5" t="s">
        <v>20</v>
      </c>
      <c r="B17" s="10" t="n">
        <f aca="false">B16-B15</f>
        <v>1.75</v>
      </c>
      <c r="C17" s="7" t="s">
        <v>21</v>
      </c>
    </row>
    <row r="18" customFormat="false" ht="15" hidden="false" customHeight="false" outlineLevel="0" collapsed="false">
      <c r="A18" s="5" t="s">
        <v>22</v>
      </c>
      <c r="B18" s="11" t="n">
        <f aca="false">B14*B8*B17</f>
        <v>538.999999999999</v>
      </c>
      <c r="C18" s="7" t="s">
        <v>23</v>
      </c>
    </row>
    <row r="19" customFormat="false" ht="15" hidden="false" customHeight="false" outlineLevel="0" collapsed="false">
      <c r="A19" s="5" t="s">
        <v>24</v>
      </c>
      <c r="B19" s="11" t="n">
        <f aca="false">IF(AND(B15&gt;=B10,B15&lt;=B11),B18*(B9-1),0)</f>
        <v>28.5669999999999</v>
      </c>
      <c r="C19" s="7" t="s">
        <v>25</v>
      </c>
    </row>
    <row r="20" customFormat="false" ht="15" hidden="false" customHeight="false" outlineLevel="0" collapsed="false">
      <c r="A20" s="5" t="s">
        <v>26</v>
      </c>
      <c r="B20" s="12" t="n">
        <f aca="false">B18+B19</f>
        <v>567.566999999999</v>
      </c>
      <c r="C20" s="7" t="s">
        <v>27</v>
      </c>
    </row>
    <row r="21" customFormat="false" ht="15" hidden="false" customHeight="false" outlineLevel="0" collapsed="false">
      <c r="A21" s="5" t="s">
        <v>28</v>
      </c>
      <c r="B21" s="13" t="n">
        <f aca="false">B14/B8</f>
        <v>1.57142857142857</v>
      </c>
      <c r="C21" s="7" t="s">
        <v>29</v>
      </c>
    </row>
    <row r="22" customFormat="false" ht="15" hidden="false" customHeight="false" outlineLevel="0" collapsed="false">
      <c r="A22" s="5" t="s">
        <v>30</v>
      </c>
      <c r="B22" s="14" t="n">
        <f aca="false">B14-B8</f>
        <v>8</v>
      </c>
      <c r="C22" s="7" t="s">
        <v>31</v>
      </c>
    </row>
    <row r="24" customFormat="false" ht="15" hidden="false" customHeight="false" outlineLevel="0" collapsed="false">
      <c r="A24" s="3" t="s">
        <v>32</v>
      </c>
    </row>
    <row r="25" customFormat="false" ht="15" hidden="false" customHeight="false" outlineLevel="0" collapsed="false">
      <c r="A25" s="5" t="s">
        <v>33</v>
      </c>
      <c r="B25" s="15" t="n">
        <f aca="false">COUNTA('Requisitos funcionales'!A2:A200)</f>
        <v>18</v>
      </c>
    </row>
    <row r="26" customFormat="false" ht="15" hidden="false" customHeight="false" outlineLevel="0" collapsed="false">
      <c r="A26" s="5" t="s">
        <v>34</v>
      </c>
      <c r="B26" s="15" t="n">
        <f aca="false">COUNTA('Requisitos no funcionales'!A2:A200)</f>
        <v>12</v>
      </c>
    </row>
    <row r="27" customFormat="false" ht="15" hidden="false" customHeight="false" outlineLevel="0" collapsed="false">
      <c r="A27" s="5" t="s">
        <v>35</v>
      </c>
      <c r="B27" s="15" t="n">
        <f aca="false">COUNTA('Historias de usuario'!A2:A200)</f>
        <v>9</v>
      </c>
    </row>
    <row r="28" customFormat="false" ht="15" hidden="false" customHeight="false" outlineLevel="0" collapsed="false">
      <c r="A28" s="5" t="s">
        <v>36</v>
      </c>
      <c r="B28" s="15" t="n">
        <f aca="false">COUNTA('Casos de prueba'!A2:A200)</f>
        <v>25</v>
      </c>
    </row>
    <row r="29" customFormat="false" ht="15" hidden="false" customHeight="false" outlineLevel="0" collapsed="false">
      <c r="A29" s="5" t="s">
        <v>37</v>
      </c>
      <c r="B29" s="15" t="n">
        <f aca="false">COUNTIF('Casos de prueba'!E2:E200,"Pasó")</f>
        <v>0</v>
      </c>
    </row>
    <row r="30" customFormat="false" ht="15" hidden="false" customHeight="false" outlineLevel="0" collapsed="false">
      <c r="A30" s="5" t="s">
        <v>38</v>
      </c>
      <c r="B30" s="15" t="n">
        <f aca="false">COUNTIF('Casos de prueba'!E2:E200,"Falló")</f>
        <v>0</v>
      </c>
    </row>
    <row r="31" customFormat="false" ht="15" hidden="false" customHeight="false" outlineLevel="0" collapsed="false">
      <c r="A31" s="5" t="s">
        <v>39</v>
      </c>
      <c r="B31" s="15" t="n">
        <f aca="false">COUNTIF('Casos de prueba'!E2:E200,"Pendiente")</f>
        <v>25</v>
      </c>
    </row>
    <row r="32" customFormat="false" ht="15" hidden="false" customHeight="false" outlineLevel="0" collapsed="false">
      <c r="A32" s="5" t="s">
        <v>40</v>
      </c>
      <c r="B32" s="16" t="n">
        <f aca="false">IF(B28=0,0,B29/B28)</f>
        <v>0</v>
      </c>
    </row>
    <row r="34" customFormat="false" ht="15" hidden="false" customHeight="false" outlineLevel="0" collapsed="false">
      <c r="A34" s="3" t="s">
        <v>41</v>
      </c>
    </row>
    <row r="35" customFormat="false" ht="27.75" hidden="false" customHeight="true" outlineLevel="0" collapsed="false">
      <c r="A35" s="4" t="s">
        <v>42</v>
      </c>
      <c r="B35" s="4"/>
      <c r="C35" s="4"/>
    </row>
    <row r="36" customFormat="false" ht="27.75" hidden="false" customHeight="true" outlineLevel="0" collapsed="false">
      <c r="A36" s="4" t="s">
        <v>43</v>
      </c>
      <c r="B36" s="4"/>
      <c r="C36" s="4"/>
    </row>
    <row r="37" customFormat="false" ht="27.75" hidden="false" customHeight="true" outlineLevel="0" collapsed="false">
      <c r="A37" s="4" t="s">
        <v>44</v>
      </c>
      <c r="B37" s="4"/>
      <c r="C37" s="4"/>
    </row>
    <row r="38" customFormat="false" ht="27.75" hidden="false" customHeight="true" outlineLevel="0" collapsed="false">
      <c r="A38" s="4" t="s">
        <v>45</v>
      </c>
      <c r="B38" s="4"/>
      <c r="C38" s="4"/>
    </row>
    <row r="39" customFormat="false" ht="27.75" hidden="false" customHeight="true" outlineLevel="0" collapsed="false">
      <c r="A39" s="4" t="s">
        <v>46</v>
      </c>
      <c r="B39" s="4"/>
      <c r="C39" s="4"/>
    </row>
  </sheetData>
  <mergeCells count="6">
    <mergeCell ref="A5:C5"/>
    <mergeCell ref="A35:C35"/>
    <mergeCell ref="A36:C36"/>
    <mergeCell ref="A37:C37"/>
    <mergeCell ref="A38:C38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7" t="s">
        <v>47</v>
      </c>
      <c r="B1" s="17" t="s">
        <v>48</v>
      </c>
      <c r="C1" s="17" t="s">
        <v>49</v>
      </c>
      <c r="D1" s="17" t="s">
        <v>50</v>
      </c>
    </row>
    <row r="2" customFormat="false" ht="15" hidden="false" customHeight="false" outlineLevel="0" collapsed="false">
      <c r="A2" s="18" t="s">
        <v>51</v>
      </c>
      <c r="B2" s="19" t="s">
        <v>52</v>
      </c>
      <c r="C2" s="20" t="s">
        <v>53</v>
      </c>
      <c r="D2" s="19" t="s">
        <v>54</v>
      </c>
    </row>
    <row r="3" customFormat="false" ht="15" hidden="false" customHeight="false" outlineLevel="0" collapsed="false">
      <c r="A3" s="18" t="s">
        <v>55</v>
      </c>
      <c r="B3" s="19" t="s">
        <v>52</v>
      </c>
      <c r="C3" s="20" t="s">
        <v>56</v>
      </c>
      <c r="D3" s="19" t="s">
        <v>54</v>
      </c>
    </row>
    <row r="4" customFormat="false" ht="15" hidden="false" customHeight="false" outlineLevel="0" collapsed="false">
      <c r="A4" s="18" t="s">
        <v>57</v>
      </c>
      <c r="B4" s="19" t="s">
        <v>52</v>
      </c>
      <c r="C4" s="20" t="s">
        <v>58</v>
      </c>
      <c r="D4" s="19" t="s">
        <v>54</v>
      </c>
    </row>
    <row r="5" customFormat="false" ht="15" hidden="false" customHeight="false" outlineLevel="0" collapsed="false">
      <c r="A5" s="18" t="s">
        <v>59</v>
      </c>
      <c r="B5" s="19" t="s">
        <v>52</v>
      </c>
      <c r="C5" s="20" t="s">
        <v>60</v>
      </c>
      <c r="D5" s="19" t="s">
        <v>54</v>
      </c>
    </row>
    <row r="6" customFormat="false" ht="15" hidden="false" customHeight="false" outlineLevel="0" collapsed="false">
      <c r="A6" s="18" t="s">
        <v>61</v>
      </c>
      <c r="B6" s="19" t="s">
        <v>62</v>
      </c>
      <c r="C6" s="20" t="s">
        <v>63</v>
      </c>
      <c r="D6" s="19" t="s">
        <v>54</v>
      </c>
    </row>
    <row r="7" customFormat="false" ht="23.85" hidden="false" customHeight="false" outlineLevel="0" collapsed="false">
      <c r="A7" s="18" t="s">
        <v>64</v>
      </c>
      <c r="B7" s="19" t="s">
        <v>62</v>
      </c>
      <c r="C7" s="20" t="s">
        <v>65</v>
      </c>
      <c r="D7" s="19" t="s">
        <v>54</v>
      </c>
    </row>
    <row r="8" customFormat="false" ht="15" hidden="false" customHeight="false" outlineLevel="0" collapsed="false">
      <c r="A8" s="18" t="s">
        <v>66</v>
      </c>
      <c r="B8" s="19" t="s">
        <v>67</v>
      </c>
      <c r="C8" s="20" t="s">
        <v>68</v>
      </c>
      <c r="D8" s="19" t="s">
        <v>54</v>
      </c>
    </row>
    <row r="9" customFormat="false" ht="15" hidden="false" customHeight="false" outlineLevel="0" collapsed="false">
      <c r="A9" s="18" t="s">
        <v>69</v>
      </c>
      <c r="B9" s="19" t="s">
        <v>67</v>
      </c>
      <c r="C9" s="20" t="s">
        <v>70</v>
      </c>
      <c r="D9" s="19" t="s">
        <v>54</v>
      </c>
    </row>
    <row r="10" customFormat="false" ht="23.85" hidden="false" customHeight="false" outlineLevel="0" collapsed="false">
      <c r="A10" s="18" t="s">
        <v>71</v>
      </c>
      <c r="B10" s="19" t="s">
        <v>67</v>
      </c>
      <c r="C10" s="20" t="s">
        <v>72</v>
      </c>
      <c r="D10" s="19" t="s">
        <v>54</v>
      </c>
    </row>
    <row r="11" customFormat="false" ht="23.85" hidden="false" customHeight="false" outlineLevel="0" collapsed="false">
      <c r="A11" s="18" t="s">
        <v>73</v>
      </c>
      <c r="B11" s="19" t="s">
        <v>67</v>
      </c>
      <c r="C11" s="20" t="s">
        <v>74</v>
      </c>
      <c r="D11" s="19" t="s">
        <v>54</v>
      </c>
    </row>
    <row r="12" customFormat="false" ht="15" hidden="false" customHeight="false" outlineLevel="0" collapsed="false">
      <c r="A12" s="18" t="s">
        <v>75</v>
      </c>
      <c r="B12" s="19" t="s">
        <v>67</v>
      </c>
      <c r="C12" s="20" t="s">
        <v>76</v>
      </c>
      <c r="D12" s="19" t="s">
        <v>77</v>
      </c>
    </row>
    <row r="13" customFormat="false" ht="23.85" hidden="false" customHeight="false" outlineLevel="0" collapsed="false">
      <c r="A13" s="18" t="s">
        <v>78</v>
      </c>
      <c r="B13" s="19" t="s">
        <v>79</v>
      </c>
      <c r="C13" s="20" t="s">
        <v>80</v>
      </c>
      <c r="D13" s="19" t="s">
        <v>54</v>
      </c>
    </row>
    <row r="14" customFormat="false" ht="15" hidden="false" customHeight="false" outlineLevel="0" collapsed="false">
      <c r="A14" s="18" t="s">
        <v>81</v>
      </c>
      <c r="B14" s="19" t="s">
        <v>82</v>
      </c>
      <c r="C14" s="20" t="s">
        <v>83</v>
      </c>
      <c r="D14" s="19" t="s">
        <v>54</v>
      </c>
    </row>
    <row r="15" customFormat="false" ht="15" hidden="false" customHeight="false" outlineLevel="0" collapsed="false">
      <c r="A15" s="18" t="s">
        <v>84</v>
      </c>
      <c r="B15" s="19" t="s">
        <v>82</v>
      </c>
      <c r="C15" s="20" t="s">
        <v>85</v>
      </c>
      <c r="D15" s="19" t="s">
        <v>54</v>
      </c>
    </row>
    <row r="16" customFormat="false" ht="23.85" hidden="false" customHeight="false" outlineLevel="0" collapsed="false">
      <c r="A16" s="18" t="s">
        <v>86</v>
      </c>
      <c r="B16" s="19" t="s">
        <v>82</v>
      </c>
      <c r="C16" s="20" t="s">
        <v>87</v>
      </c>
      <c r="D16" s="19" t="s">
        <v>54</v>
      </c>
    </row>
    <row r="17" customFormat="false" ht="23.85" hidden="false" customHeight="false" outlineLevel="0" collapsed="false">
      <c r="A17" s="18" t="s">
        <v>88</v>
      </c>
      <c r="B17" s="19" t="s">
        <v>89</v>
      </c>
      <c r="C17" s="20" t="s">
        <v>90</v>
      </c>
      <c r="D17" s="19" t="s">
        <v>54</v>
      </c>
    </row>
    <row r="18" customFormat="false" ht="15" hidden="false" customHeight="false" outlineLevel="0" collapsed="false">
      <c r="A18" s="18" t="s">
        <v>91</v>
      </c>
      <c r="B18" s="19" t="s">
        <v>92</v>
      </c>
      <c r="C18" s="20" t="s">
        <v>93</v>
      </c>
      <c r="D18" s="19" t="s">
        <v>77</v>
      </c>
    </row>
    <row r="19" customFormat="false" ht="15" hidden="false" customHeight="false" outlineLevel="0" collapsed="false">
      <c r="A19" s="18" t="s">
        <v>94</v>
      </c>
      <c r="B19" s="19" t="s">
        <v>95</v>
      </c>
      <c r="C19" s="20" t="s">
        <v>96</v>
      </c>
      <c r="D19" s="19" t="s">
        <v>97</v>
      </c>
    </row>
  </sheetData>
  <autoFilter ref="A1:D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7" t="s">
        <v>47</v>
      </c>
      <c r="B1" s="17" t="s">
        <v>98</v>
      </c>
      <c r="C1" s="17" t="s">
        <v>49</v>
      </c>
      <c r="D1" s="17" t="s">
        <v>99</v>
      </c>
    </row>
    <row r="2" customFormat="false" ht="15" hidden="false" customHeight="false" outlineLevel="0" collapsed="false">
      <c r="A2" s="18" t="s">
        <v>100</v>
      </c>
      <c r="B2" s="19" t="s">
        <v>101</v>
      </c>
      <c r="C2" s="20" t="s">
        <v>102</v>
      </c>
      <c r="D2" s="20" t="s">
        <v>103</v>
      </c>
    </row>
    <row r="3" customFormat="false" ht="15" hidden="false" customHeight="false" outlineLevel="0" collapsed="false">
      <c r="A3" s="18" t="s">
        <v>104</v>
      </c>
      <c r="B3" s="19" t="s">
        <v>105</v>
      </c>
      <c r="C3" s="20" t="s">
        <v>106</v>
      </c>
      <c r="D3" s="20" t="s">
        <v>107</v>
      </c>
    </row>
    <row r="4" customFormat="false" ht="15" hidden="false" customHeight="false" outlineLevel="0" collapsed="false">
      <c r="A4" s="18" t="s">
        <v>108</v>
      </c>
      <c r="B4" s="19" t="s">
        <v>105</v>
      </c>
      <c r="C4" s="20" t="s">
        <v>109</v>
      </c>
      <c r="D4" s="20" t="s">
        <v>110</v>
      </c>
    </row>
    <row r="5" customFormat="false" ht="15" hidden="false" customHeight="false" outlineLevel="0" collapsed="false">
      <c r="A5" s="18" t="s">
        <v>111</v>
      </c>
      <c r="B5" s="19" t="s">
        <v>112</v>
      </c>
      <c r="C5" s="20" t="s">
        <v>113</v>
      </c>
      <c r="D5" s="20" t="s">
        <v>114</v>
      </c>
    </row>
    <row r="6" customFormat="false" ht="15" hidden="false" customHeight="false" outlineLevel="0" collapsed="false">
      <c r="A6" s="18" t="s">
        <v>115</v>
      </c>
      <c r="B6" s="19" t="s">
        <v>116</v>
      </c>
      <c r="C6" s="20" t="s">
        <v>117</v>
      </c>
      <c r="D6" s="20" t="s">
        <v>118</v>
      </c>
    </row>
    <row r="7" customFormat="false" ht="23.85" hidden="false" customHeight="false" outlineLevel="0" collapsed="false">
      <c r="A7" s="18" t="s">
        <v>119</v>
      </c>
      <c r="B7" s="19" t="s">
        <v>120</v>
      </c>
      <c r="C7" s="20" t="s">
        <v>121</v>
      </c>
      <c r="D7" s="20" t="s">
        <v>122</v>
      </c>
    </row>
    <row r="8" customFormat="false" ht="15" hidden="false" customHeight="false" outlineLevel="0" collapsed="false">
      <c r="A8" s="18" t="s">
        <v>123</v>
      </c>
      <c r="B8" s="19" t="s">
        <v>124</v>
      </c>
      <c r="C8" s="20" t="s">
        <v>125</v>
      </c>
      <c r="D8" s="20" t="s">
        <v>126</v>
      </c>
    </row>
    <row r="9" customFormat="false" ht="23.85" hidden="false" customHeight="false" outlineLevel="0" collapsed="false">
      <c r="A9" s="18" t="s">
        <v>127</v>
      </c>
      <c r="B9" s="19" t="s">
        <v>124</v>
      </c>
      <c r="C9" s="20" t="s">
        <v>128</v>
      </c>
      <c r="D9" s="20" t="s">
        <v>129</v>
      </c>
    </row>
    <row r="10" customFormat="false" ht="15" hidden="false" customHeight="false" outlineLevel="0" collapsed="false">
      <c r="A10" s="18" t="s">
        <v>130</v>
      </c>
      <c r="B10" s="19" t="s">
        <v>131</v>
      </c>
      <c r="C10" s="20" t="s">
        <v>132</v>
      </c>
      <c r="D10" s="20" t="s">
        <v>133</v>
      </c>
    </row>
    <row r="11" customFormat="false" ht="23.85" hidden="false" customHeight="false" outlineLevel="0" collapsed="false">
      <c r="A11" s="18" t="s">
        <v>134</v>
      </c>
      <c r="B11" s="19" t="s">
        <v>135</v>
      </c>
      <c r="C11" s="20" t="s">
        <v>136</v>
      </c>
      <c r="D11" s="20" t="s">
        <v>137</v>
      </c>
    </row>
    <row r="12" customFormat="false" ht="15" hidden="false" customHeight="false" outlineLevel="0" collapsed="false">
      <c r="A12" s="18" t="s">
        <v>138</v>
      </c>
      <c r="B12" s="19" t="s">
        <v>139</v>
      </c>
      <c r="C12" s="20" t="s">
        <v>140</v>
      </c>
      <c r="D12" s="20" t="s">
        <v>141</v>
      </c>
    </row>
    <row r="13" customFormat="false" ht="15" hidden="false" customHeight="false" outlineLevel="0" collapsed="false">
      <c r="A13" s="18" t="s">
        <v>142</v>
      </c>
      <c r="B13" s="19" t="s">
        <v>143</v>
      </c>
      <c r="C13" s="20" t="s">
        <v>144</v>
      </c>
      <c r="D13" s="20" t="s">
        <v>145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5" min="5" style="0" width="70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7" t="s">
        <v>47</v>
      </c>
      <c r="B1" s="17" t="s">
        <v>146</v>
      </c>
      <c r="C1" s="17" t="s">
        <v>147</v>
      </c>
      <c r="D1" s="17" t="s">
        <v>148</v>
      </c>
      <c r="E1" s="17" t="s">
        <v>149</v>
      </c>
      <c r="F1" s="17" t="s">
        <v>150</v>
      </c>
    </row>
    <row r="2" customFormat="false" ht="68.65" hidden="false" customHeight="false" outlineLevel="0" collapsed="false">
      <c r="A2" s="18" t="s">
        <v>151</v>
      </c>
      <c r="B2" s="19" t="s">
        <v>152</v>
      </c>
      <c r="C2" s="20" t="s">
        <v>153</v>
      </c>
      <c r="D2" s="20" t="s">
        <v>154</v>
      </c>
      <c r="E2" s="20" t="s">
        <v>155</v>
      </c>
      <c r="F2" s="19" t="s">
        <v>156</v>
      </c>
    </row>
    <row r="3" customFormat="false" ht="68.65" hidden="false" customHeight="false" outlineLevel="0" collapsed="false">
      <c r="A3" s="18" t="s">
        <v>157</v>
      </c>
      <c r="B3" s="19" t="s">
        <v>152</v>
      </c>
      <c r="C3" s="20" t="s">
        <v>158</v>
      </c>
      <c r="D3" s="20" t="s">
        <v>159</v>
      </c>
      <c r="E3" s="20" t="s">
        <v>160</v>
      </c>
      <c r="F3" s="19" t="s">
        <v>161</v>
      </c>
    </row>
    <row r="4" customFormat="false" ht="46.25" hidden="false" customHeight="false" outlineLevel="0" collapsed="false">
      <c r="A4" s="18" t="s">
        <v>162</v>
      </c>
      <c r="B4" s="19" t="s">
        <v>152</v>
      </c>
      <c r="C4" s="20" t="s">
        <v>163</v>
      </c>
      <c r="D4" s="20" t="s">
        <v>164</v>
      </c>
      <c r="E4" s="20" t="s">
        <v>165</v>
      </c>
      <c r="F4" s="19" t="s">
        <v>166</v>
      </c>
    </row>
    <row r="5" customFormat="false" ht="57.45" hidden="false" customHeight="false" outlineLevel="0" collapsed="false">
      <c r="A5" s="18" t="s">
        <v>167</v>
      </c>
      <c r="B5" s="19" t="s">
        <v>168</v>
      </c>
      <c r="C5" s="20" t="s">
        <v>169</v>
      </c>
      <c r="D5" s="20" t="s">
        <v>170</v>
      </c>
      <c r="E5" s="20" t="s">
        <v>171</v>
      </c>
      <c r="F5" s="19" t="s">
        <v>71</v>
      </c>
    </row>
    <row r="6" customFormat="false" ht="46.25" hidden="false" customHeight="false" outlineLevel="0" collapsed="false">
      <c r="A6" s="18" t="s">
        <v>172</v>
      </c>
      <c r="B6" s="19" t="s">
        <v>152</v>
      </c>
      <c r="C6" s="20" t="s">
        <v>173</v>
      </c>
      <c r="D6" s="20" t="s">
        <v>174</v>
      </c>
      <c r="E6" s="20" t="s">
        <v>175</v>
      </c>
      <c r="F6" s="19" t="s">
        <v>176</v>
      </c>
    </row>
    <row r="7" customFormat="false" ht="35.05" hidden="false" customHeight="false" outlineLevel="0" collapsed="false">
      <c r="A7" s="18" t="s">
        <v>177</v>
      </c>
      <c r="B7" s="19" t="s">
        <v>168</v>
      </c>
      <c r="C7" s="20" t="s">
        <v>178</v>
      </c>
      <c r="D7" s="20" t="s">
        <v>179</v>
      </c>
      <c r="E7" s="20" t="s">
        <v>180</v>
      </c>
      <c r="F7" s="19" t="s">
        <v>86</v>
      </c>
    </row>
    <row r="8" customFormat="false" ht="35.05" hidden="false" customHeight="false" outlineLevel="0" collapsed="false">
      <c r="A8" s="18" t="s">
        <v>181</v>
      </c>
      <c r="B8" s="19" t="s">
        <v>168</v>
      </c>
      <c r="C8" s="20" t="s">
        <v>182</v>
      </c>
      <c r="D8" s="20" t="s">
        <v>183</v>
      </c>
      <c r="E8" s="20" t="s">
        <v>184</v>
      </c>
      <c r="F8" s="19" t="s">
        <v>185</v>
      </c>
    </row>
    <row r="9" customFormat="false" ht="46.25" hidden="false" customHeight="false" outlineLevel="0" collapsed="false">
      <c r="A9" s="18" t="s">
        <v>186</v>
      </c>
      <c r="B9" s="19" t="s">
        <v>152</v>
      </c>
      <c r="C9" s="20" t="s">
        <v>187</v>
      </c>
      <c r="D9" s="20" t="s">
        <v>188</v>
      </c>
      <c r="E9" s="20" t="s">
        <v>189</v>
      </c>
      <c r="F9" s="19" t="s">
        <v>91</v>
      </c>
    </row>
    <row r="10" customFormat="false" ht="23.85" hidden="false" customHeight="false" outlineLevel="0" collapsed="false">
      <c r="A10" s="18" t="s">
        <v>190</v>
      </c>
      <c r="B10" s="19" t="s">
        <v>152</v>
      </c>
      <c r="C10" s="20" t="s">
        <v>191</v>
      </c>
      <c r="D10" s="20" t="s">
        <v>192</v>
      </c>
      <c r="E10" s="20" t="s">
        <v>193</v>
      </c>
      <c r="F10" s="19" t="s">
        <v>94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7" t="s">
        <v>47</v>
      </c>
      <c r="B1" s="17" t="s">
        <v>194</v>
      </c>
      <c r="C1" s="17" t="s">
        <v>195</v>
      </c>
      <c r="D1" s="17" t="s">
        <v>196</v>
      </c>
      <c r="E1" s="17" t="s">
        <v>197</v>
      </c>
      <c r="F1" s="17" t="s">
        <v>198</v>
      </c>
    </row>
    <row r="2" customFormat="false" ht="15" hidden="false" customHeight="false" outlineLevel="0" collapsed="false">
      <c r="A2" s="18" t="s">
        <v>199</v>
      </c>
      <c r="B2" s="20" t="s">
        <v>200</v>
      </c>
      <c r="C2" s="20" t="s">
        <v>201</v>
      </c>
      <c r="D2" s="19" t="s">
        <v>202</v>
      </c>
      <c r="E2" s="19" t="s">
        <v>203</v>
      </c>
      <c r="F2" s="20"/>
    </row>
    <row r="3" customFormat="false" ht="15" hidden="false" customHeight="false" outlineLevel="0" collapsed="false">
      <c r="A3" s="18" t="s">
        <v>204</v>
      </c>
      <c r="B3" s="20" t="s">
        <v>205</v>
      </c>
      <c r="C3" s="20" t="s">
        <v>206</v>
      </c>
      <c r="D3" s="19" t="s">
        <v>207</v>
      </c>
      <c r="E3" s="19" t="s">
        <v>203</v>
      </c>
      <c r="F3" s="20"/>
    </row>
    <row r="4" customFormat="false" ht="15" hidden="false" customHeight="false" outlineLevel="0" collapsed="false">
      <c r="A4" s="18" t="s">
        <v>208</v>
      </c>
      <c r="B4" s="20" t="s">
        <v>209</v>
      </c>
      <c r="C4" s="20" t="s">
        <v>210</v>
      </c>
      <c r="D4" s="19" t="s">
        <v>57</v>
      </c>
      <c r="E4" s="19" t="s">
        <v>203</v>
      </c>
      <c r="F4" s="20"/>
    </row>
    <row r="5" customFormat="false" ht="15" hidden="false" customHeight="false" outlineLevel="0" collapsed="false">
      <c r="A5" s="18" t="s">
        <v>211</v>
      </c>
      <c r="B5" s="20" t="s">
        <v>212</v>
      </c>
      <c r="C5" s="20" t="s">
        <v>213</v>
      </c>
      <c r="D5" s="19" t="s">
        <v>123</v>
      </c>
      <c r="E5" s="19" t="s">
        <v>203</v>
      </c>
      <c r="F5" s="20"/>
    </row>
    <row r="6" customFormat="false" ht="15" hidden="false" customHeight="false" outlineLevel="0" collapsed="false">
      <c r="A6" s="18" t="s">
        <v>214</v>
      </c>
      <c r="B6" s="20" t="s">
        <v>215</v>
      </c>
      <c r="C6" s="20" t="s">
        <v>216</v>
      </c>
      <c r="D6" s="19" t="s">
        <v>64</v>
      </c>
      <c r="E6" s="19" t="s">
        <v>203</v>
      </c>
      <c r="F6" s="20"/>
    </row>
    <row r="7" customFormat="false" ht="15" hidden="false" customHeight="false" outlineLevel="0" collapsed="false">
      <c r="A7" s="18" t="s">
        <v>217</v>
      </c>
      <c r="B7" s="20" t="s">
        <v>218</v>
      </c>
      <c r="C7" s="20" t="s">
        <v>219</v>
      </c>
      <c r="D7" s="19" t="s">
        <v>64</v>
      </c>
      <c r="E7" s="19" t="s">
        <v>203</v>
      </c>
      <c r="F7" s="20"/>
    </row>
    <row r="8" customFormat="false" ht="15" hidden="false" customHeight="false" outlineLevel="0" collapsed="false">
      <c r="A8" s="18" t="s">
        <v>220</v>
      </c>
      <c r="B8" s="20" t="s">
        <v>221</v>
      </c>
      <c r="C8" s="20" t="s">
        <v>219</v>
      </c>
      <c r="D8" s="19" t="s">
        <v>222</v>
      </c>
      <c r="E8" s="19" t="s">
        <v>203</v>
      </c>
      <c r="F8" s="20"/>
    </row>
    <row r="9" customFormat="false" ht="15" hidden="false" customHeight="false" outlineLevel="0" collapsed="false">
      <c r="A9" s="18" t="s">
        <v>223</v>
      </c>
      <c r="B9" s="20" t="s">
        <v>224</v>
      </c>
      <c r="C9" s="20" t="s">
        <v>225</v>
      </c>
      <c r="D9" s="19" t="s">
        <v>226</v>
      </c>
      <c r="E9" s="19" t="s">
        <v>203</v>
      </c>
      <c r="F9" s="20"/>
    </row>
    <row r="10" customFormat="false" ht="15" hidden="false" customHeight="false" outlineLevel="0" collapsed="false">
      <c r="A10" s="18" t="s">
        <v>227</v>
      </c>
      <c r="B10" s="20" t="s">
        <v>228</v>
      </c>
      <c r="C10" s="20" t="s">
        <v>229</v>
      </c>
      <c r="D10" s="19" t="s">
        <v>230</v>
      </c>
      <c r="E10" s="19" t="s">
        <v>203</v>
      </c>
      <c r="F10" s="20"/>
    </row>
    <row r="11" customFormat="false" ht="15" hidden="false" customHeight="false" outlineLevel="0" collapsed="false">
      <c r="A11" s="18" t="s">
        <v>231</v>
      </c>
      <c r="B11" s="20" t="s">
        <v>232</v>
      </c>
      <c r="C11" s="20" t="s">
        <v>233</v>
      </c>
      <c r="D11" s="19" t="s">
        <v>71</v>
      </c>
      <c r="E11" s="19" t="s">
        <v>203</v>
      </c>
      <c r="F11" s="20"/>
    </row>
    <row r="12" customFormat="false" ht="15" hidden="false" customHeight="false" outlineLevel="0" collapsed="false">
      <c r="A12" s="18" t="s">
        <v>234</v>
      </c>
      <c r="B12" s="20" t="s">
        <v>235</v>
      </c>
      <c r="C12" s="20" t="s">
        <v>236</v>
      </c>
      <c r="D12" s="19" t="s">
        <v>71</v>
      </c>
      <c r="E12" s="19" t="s">
        <v>203</v>
      </c>
      <c r="F12" s="20"/>
    </row>
    <row r="13" customFormat="false" ht="15" hidden="false" customHeight="false" outlineLevel="0" collapsed="false">
      <c r="A13" s="18" t="s">
        <v>237</v>
      </c>
      <c r="B13" s="20" t="s">
        <v>238</v>
      </c>
      <c r="C13" s="20" t="s">
        <v>239</v>
      </c>
      <c r="D13" s="19" t="s">
        <v>73</v>
      </c>
      <c r="E13" s="19" t="s">
        <v>203</v>
      </c>
      <c r="F13" s="20"/>
    </row>
    <row r="14" customFormat="false" ht="15" hidden="false" customHeight="false" outlineLevel="0" collapsed="false">
      <c r="A14" s="18" t="s">
        <v>240</v>
      </c>
      <c r="B14" s="20" t="s">
        <v>241</v>
      </c>
      <c r="C14" s="20" t="s">
        <v>242</v>
      </c>
      <c r="D14" s="19" t="s">
        <v>75</v>
      </c>
      <c r="E14" s="19" t="s">
        <v>203</v>
      </c>
      <c r="F14" s="20"/>
    </row>
    <row r="15" customFormat="false" ht="23.85" hidden="false" customHeight="false" outlineLevel="0" collapsed="false">
      <c r="A15" s="18" t="s">
        <v>243</v>
      </c>
      <c r="B15" s="20" t="s">
        <v>244</v>
      </c>
      <c r="C15" s="20" t="s">
        <v>245</v>
      </c>
      <c r="D15" s="19" t="s">
        <v>78</v>
      </c>
      <c r="E15" s="19" t="s">
        <v>203</v>
      </c>
      <c r="F15" s="20"/>
    </row>
    <row r="16" customFormat="false" ht="15" hidden="false" customHeight="false" outlineLevel="0" collapsed="false">
      <c r="A16" s="18" t="s">
        <v>246</v>
      </c>
      <c r="B16" s="20" t="s">
        <v>247</v>
      </c>
      <c r="C16" s="20" t="s">
        <v>248</v>
      </c>
      <c r="D16" s="19" t="s">
        <v>176</v>
      </c>
      <c r="E16" s="19" t="s">
        <v>203</v>
      </c>
      <c r="F16" s="20"/>
    </row>
    <row r="17" customFormat="false" ht="15" hidden="false" customHeight="false" outlineLevel="0" collapsed="false">
      <c r="A17" s="18" t="s">
        <v>249</v>
      </c>
      <c r="B17" s="20" t="s">
        <v>250</v>
      </c>
      <c r="C17" s="20" t="s">
        <v>251</v>
      </c>
      <c r="D17" s="19" t="s">
        <v>86</v>
      </c>
      <c r="E17" s="19" t="s">
        <v>203</v>
      </c>
      <c r="F17" s="20"/>
    </row>
    <row r="18" customFormat="false" ht="15" hidden="false" customHeight="false" outlineLevel="0" collapsed="false">
      <c r="A18" s="18" t="s">
        <v>252</v>
      </c>
      <c r="B18" s="20" t="s">
        <v>253</v>
      </c>
      <c r="C18" s="20" t="s">
        <v>254</v>
      </c>
      <c r="D18" s="19" t="s">
        <v>86</v>
      </c>
      <c r="E18" s="19" t="s">
        <v>203</v>
      </c>
      <c r="F18" s="20"/>
    </row>
    <row r="19" customFormat="false" ht="23.85" hidden="false" customHeight="false" outlineLevel="0" collapsed="false">
      <c r="A19" s="18" t="s">
        <v>255</v>
      </c>
      <c r="B19" s="20" t="s">
        <v>256</v>
      </c>
      <c r="C19" s="20" t="s">
        <v>257</v>
      </c>
      <c r="D19" s="19" t="s">
        <v>258</v>
      </c>
      <c r="E19" s="19" t="s">
        <v>203</v>
      </c>
      <c r="F19" s="20"/>
    </row>
    <row r="20" customFormat="false" ht="23.85" hidden="false" customHeight="false" outlineLevel="0" collapsed="false">
      <c r="A20" s="18" t="s">
        <v>259</v>
      </c>
      <c r="B20" s="20" t="s">
        <v>260</v>
      </c>
      <c r="C20" s="20" t="s">
        <v>261</v>
      </c>
      <c r="D20" s="19" t="s">
        <v>88</v>
      </c>
      <c r="E20" s="19" t="s">
        <v>203</v>
      </c>
      <c r="F20" s="20"/>
    </row>
    <row r="21" customFormat="false" ht="23.85" hidden="false" customHeight="false" outlineLevel="0" collapsed="false">
      <c r="A21" s="18" t="s">
        <v>262</v>
      </c>
      <c r="B21" s="20" t="s">
        <v>263</v>
      </c>
      <c r="C21" s="20" t="s">
        <v>264</v>
      </c>
      <c r="D21" s="19" t="s">
        <v>91</v>
      </c>
      <c r="E21" s="19" t="s">
        <v>203</v>
      </c>
      <c r="F21" s="20"/>
    </row>
    <row r="22" customFormat="false" ht="15" hidden="false" customHeight="false" outlineLevel="0" collapsed="false">
      <c r="A22" s="18" t="s">
        <v>265</v>
      </c>
      <c r="B22" s="20" t="s">
        <v>266</v>
      </c>
      <c r="C22" s="20" t="s">
        <v>267</v>
      </c>
      <c r="D22" s="19" t="s">
        <v>127</v>
      </c>
      <c r="E22" s="19" t="s">
        <v>203</v>
      </c>
      <c r="F22" s="20"/>
    </row>
    <row r="23" customFormat="false" ht="23.85" hidden="false" customHeight="false" outlineLevel="0" collapsed="false">
      <c r="A23" s="18" t="s">
        <v>268</v>
      </c>
      <c r="B23" s="20" t="s">
        <v>269</v>
      </c>
      <c r="C23" s="20" t="s">
        <v>270</v>
      </c>
      <c r="D23" s="19" t="s">
        <v>271</v>
      </c>
      <c r="E23" s="19" t="s">
        <v>203</v>
      </c>
      <c r="F23" s="20"/>
    </row>
    <row r="24" customFormat="false" ht="15" hidden="false" customHeight="false" outlineLevel="0" collapsed="false">
      <c r="A24" s="18" t="s">
        <v>272</v>
      </c>
      <c r="B24" s="20" t="s">
        <v>273</v>
      </c>
      <c r="C24" s="20" t="s">
        <v>274</v>
      </c>
      <c r="D24" s="19" t="s">
        <v>111</v>
      </c>
      <c r="E24" s="19" t="s">
        <v>203</v>
      </c>
      <c r="F24" s="20"/>
    </row>
    <row r="25" customFormat="false" ht="15" hidden="false" customHeight="false" outlineLevel="0" collapsed="false">
      <c r="A25" s="18" t="s">
        <v>275</v>
      </c>
      <c r="B25" s="20" t="s">
        <v>276</v>
      </c>
      <c r="C25" s="20" t="s">
        <v>277</v>
      </c>
      <c r="D25" s="19" t="s">
        <v>142</v>
      </c>
      <c r="E25" s="19" t="s">
        <v>203</v>
      </c>
      <c r="F25" s="20"/>
    </row>
    <row r="26" customFormat="false" ht="15" hidden="false" customHeight="false" outlineLevel="0" collapsed="false">
      <c r="A26" s="18" t="s">
        <v>278</v>
      </c>
      <c r="B26" s="20" t="s">
        <v>279</v>
      </c>
      <c r="C26" s="20" t="s">
        <v>280</v>
      </c>
      <c r="D26" s="19" t="s">
        <v>108</v>
      </c>
      <c r="E26" s="19" t="s">
        <v>203</v>
      </c>
      <c r="F26" s="20"/>
    </row>
  </sheetData>
  <autoFilter ref="A1:F26"/>
  <conditionalFormatting sqref="E2:E26">
    <cfRule type="cellIs" priority="2" operator="equal" aboveAverage="0" equalAverage="0" bottom="0" percent="0" rank="0" text="" dxfId="3">
      <formula>"Pasó"</formula>
    </cfRule>
    <cfRule type="cellIs" priority="3" operator="equal" aboveAverage="0" equalAverage="0" bottom="0" percent="0" rank="0" text="" dxfId="4">
      <formula>"Falló"</formula>
    </cfRule>
  </conditionalFormatting>
  <dataValidations count="1">
    <dataValidation allowBlank="false" error="Elige Pendiente, Pasó o Falló" errorStyle="stop" errorTitle="Estado no válido" operator="between" showDropDown="false" showErrorMessage="false" showInputMessage="false" sqref="E2:E26" type="list">
      <formula1>"Pendiente,Pasó,Falló"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2026-10-30T00:21:48Z</dcterms:created>
  <dc:creator>openpyxl</dc:creator>
  <dc:description/>
  <dc:language>en-US</dc:language>
  <cp:lastModifiedBy/>
  <dcterms:modified xsi:type="dcterms:W3CDTF">2026-10-30T00:21:48Z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